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0BC6F3F-A168-404E-91FF-C3F220605F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im" sheetId="1" r:id="rId1"/>
    <sheet name="real" sheetId="2" r:id="rId2"/>
  </sheets>
  <calcPr calcId="181029"/>
</workbook>
</file>

<file path=xl/calcChain.xml><?xml version="1.0" encoding="utf-8"?>
<calcChain xmlns="http://schemas.openxmlformats.org/spreadsheetml/2006/main">
  <c r="H13" i="2" l="1"/>
  <c r="C13" i="2"/>
  <c r="B9" i="2"/>
  <c r="B8" i="2"/>
  <c r="H5" i="2"/>
  <c r="G5" i="2"/>
  <c r="D16" i="1"/>
  <c r="C16" i="1"/>
  <c r="D15" i="1"/>
  <c r="C15" i="1"/>
  <c r="C11" i="1"/>
  <c r="C6" i="1"/>
  <c r="C14" i="2" s="1"/>
  <c r="G6" i="2" l="1"/>
  <c r="C15" i="2"/>
  <c r="E7" i="1"/>
  <c r="H15" i="2"/>
  <c r="C16" i="2"/>
  <c r="C17" i="2" s="1"/>
  <c r="C19" i="2" s="1"/>
  <c r="C20" i="2" s="1"/>
  <c r="C18" i="2" l="1"/>
  <c r="E13" i="1"/>
  <c r="E10" i="1"/>
  <c r="E12" i="1"/>
  <c r="E9" i="1"/>
  <c r="E8" i="1"/>
  <c r="E14" i="1"/>
  <c r="C22" i="2"/>
  <c r="C26" i="2"/>
  <c r="C23" i="2"/>
  <c r="C21" i="2"/>
  <c r="C27" i="2"/>
  <c r="C25" i="2"/>
  <c r="C24" i="2"/>
  <c r="C30" i="2" l="1"/>
  <c r="C28" i="2"/>
  <c r="C29" i="2" s="1"/>
  <c r="E6" i="1"/>
  <c r="E16" i="1"/>
  <c r="E15" i="1"/>
  <c r="E11" i="1"/>
  <c r="H6" i="2" l="1"/>
  <c r="H14" i="2"/>
  <c r="H16" i="2" l="1"/>
  <c r="H18" i="2" l="1"/>
  <c r="H21" i="2"/>
  <c r="H27" i="2"/>
  <c r="H22" i="2"/>
  <c r="H25" i="2"/>
  <c r="H26" i="2"/>
  <c r="H28" i="2" s="1"/>
  <c r="H29" i="2" s="1"/>
  <c r="H24" i="2"/>
  <c r="H17" i="2"/>
  <c r="H19" i="2" s="1"/>
  <c r="H20" i="2" s="1"/>
  <c r="H30" i="2" l="1"/>
</calcChain>
</file>

<file path=xl/sharedStrings.xml><?xml version="1.0" encoding="utf-8"?>
<sst xmlns="http://schemas.openxmlformats.org/spreadsheetml/2006/main" count="205" uniqueCount="136">
  <si>
    <t>Antifer Cube Non-Dimensional Geometry Coefficients</t>
  </si>
  <si>
    <t>Pita (1986) and Carvalho (2026) implemented conventions; Frens (2007) retained for historical comparison</t>
  </si>
  <si>
    <t>Symbol / metric</t>
  </si>
  <si>
    <t>Definition</t>
  </si>
  <si>
    <t>Pita (1986)</t>
  </si>
  <si>
    <t>Frens (2007)</t>
  </si>
  <si>
    <t>Carvalho (2026)</t>
  </si>
  <si>
    <t>Use / note</t>
  </si>
  <si>
    <r>
      <t>kV_ref = V/H</t>
    </r>
    <r>
      <rPr>
        <sz val="11"/>
        <rFont val="Arial"/>
        <family val="2"/>
      </rPr>
      <t>3</t>
    </r>
  </si>
  <si>
    <t>reference/documentary value; retained as metadata</t>
  </si>
  <si>
    <r>
      <t>kV_CAD = V/H</t>
    </r>
    <r>
      <rPr>
        <sz val="11"/>
        <rFont val="Arial"/>
        <family val="2"/>
      </rPr>
      <t>3</t>
    </r>
  </si>
  <si>
    <t>active generated-volume coefficient used for CAD/BIM volume consistency</t>
  </si>
  <si>
    <t>f</t>
  </si>
  <si>
    <t>Carvalho applies f to Pita plan/groove coefficients; Frens is not an active calculator profile</t>
  </si>
  <si>
    <t>A/H</t>
  </si>
  <si>
    <t>A = kA H</t>
  </si>
  <si>
    <t>B/H</t>
  </si>
  <si>
    <t>B = kB H; no top bevel</t>
  </si>
  <si>
    <t>C_hist/H</t>
  </si>
  <si>
    <t>Pita documentary value; not the exact generated circular-arc inset</t>
  </si>
  <si>
    <t>C_arc/H = R/H - E/H</t>
  </si>
  <si>
    <t>C used by generated CAD/B-rep geometry</t>
  </si>
  <si>
    <t>D/H</t>
  </si>
  <si>
    <t>D is a plan chamfer offset, not a top bevel</t>
  </si>
  <si>
    <t>R/H</t>
  </si>
  <si>
    <t>R = kR H</t>
  </si>
  <si>
    <t>E/H</t>
  </si>
  <si>
    <t>E = kE H; C_arc = R - E</t>
  </si>
  <si>
    <t>q/H</t>
  </si>
  <si>
    <t>q = sqrt(R^2 - E^2)</t>
  </si>
  <si>
    <t>angle</t>
  </si>
  <si>
    <t>bottom/main lateral plane angle [deg]</t>
  </si>
  <si>
    <t>calculated from A, B and H</t>
  </si>
  <si>
    <t>README alignment notes</t>
  </si>
  <si>
    <t>Antifer volume and dimensional calculator from W and Wc</t>
  </si>
  <si>
    <t>USER INPUTS</t>
  </si>
  <si>
    <t>COEFFICIENT SOURCE</t>
  </si>
  <si>
    <t>Input / result</t>
  </si>
  <si>
    <t>Value</t>
  </si>
  <si>
    <t>Unit</t>
  </si>
  <si>
    <t>Editable / formula</t>
  </si>
  <si>
    <t>Source table</t>
  </si>
  <si>
    <t>Pita column</t>
  </si>
  <si>
    <t>Carvalho column</t>
  </si>
  <si>
    <t>Use</t>
  </si>
  <si>
    <t>W</t>
  </si>
  <si>
    <t>kN</t>
  </si>
  <si>
    <t>editable input force</t>
  </si>
  <si>
    <t>kV_ref</t>
  </si>
  <si>
    <t>Wc</t>
  </si>
  <si>
    <t>kN/m³</t>
  </si>
  <si>
    <t>editable concrete unit weight</t>
  </si>
  <si>
    <t>kV_CAD</t>
  </si>
  <si>
    <t>g</t>
  </si>
  <si>
    <t>m/s²</t>
  </si>
  <si>
    <t>standard gravity for tonne conversion</t>
  </si>
  <si>
    <t>V = W / Wc</t>
  </si>
  <si>
    <t>m³</t>
  </si>
  <si>
    <t>computed design volume</t>
  </si>
  <si>
    <t>W / g</t>
  </si>
  <si>
    <t>t</t>
  </si>
  <si>
    <t>equivalent mass in tonnes</t>
  </si>
  <si>
    <t>PITA (1986) CALCULATION</t>
  </si>
  <si>
    <t>CARVALHO (2026) CALCULATION</t>
  </si>
  <si>
    <t>Metric</t>
  </si>
  <si>
    <t>Formula</t>
  </si>
  <si>
    <t>Unit / note</t>
  </si>
  <si>
    <t>reference V/H³</t>
  </si>
  <si>
    <t>from coefficient table</t>
  </si>
  <si>
    <t>CAD/B-rep V/H³</t>
  </si>
  <si>
    <t>used to compute H</t>
  </si>
  <si>
    <t>V_input</t>
  </si>
  <si>
    <t>W/Wc</t>
  </si>
  <si>
    <t>H</t>
  </si>
  <si>
    <t>(V_input/kV_CAD)^(1/3)</t>
  </si>
  <si>
    <t>m</t>
  </si>
  <si>
    <t>V_CAD check</t>
  </si>
  <si>
    <t>kV_CAD*H^3</t>
  </si>
  <si>
    <t>V_ref check</t>
  </si>
  <si>
    <t>kV_ref*H^3</t>
  </si>
  <si>
    <t>Residual V_CAD - V_input</t>
  </si>
  <si>
    <t>V_CAD-V_input</t>
  </si>
  <si>
    <t>Relative residual</t>
  </si>
  <si>
    <t>(V_CAD-V_input)/V_input</t>
  </si>
  <si>
    <t>-</t>
  </si>
  <si>
    <t>A</t>
  </si>
  <si>
    <t>(A/H)*H</t>
  </si>
  <si>
    <t>B</t>
  </si>
  <si>
    <t>(B/H)*H</t>
  </si>
  <si>
    <t>C_hist</t>
  </si>
  <si>
    <t>historical C/H*H</t>
  </si>
  <si>
    <t>m; documentary only</t>
  </si>
  <si>
    <t>not active</t>
  </si>
  <si>
    <t>not used for Carvalho CAD geometry</t>
  </si>
  <si>
    <t>C_arc</t>
  </si>
  <si>
    <t>(R/H - E/H)*H</t>
  </si>
  <si>
    <t>m; generated CAD/B-rep inset</t>
  </si>
  <si>
    <t>D</t>
  </si>
  <si>
    <t>(D/H)*H</t>
  </si>
  <si>
    <t>R</t>
  </si>
  <si>
    <t>(R/H)*H</t>
  </si>
  <si>
    <t>E</t>
  </si>
  <si>
    <t>(E/H)*H</t>
  </si>
  <si>
    <t>q</t>
  </si>
  <si>
    <t>sqrt(R^2-E^2)</t>
  </si>
  <si>
    <t>m; groove half-opening</t>
  </si>
  <si>
    <t>2q</t>
  </si>
  <si>
    <t>2*q</t>
  </si>
  <si>
    <t>m; full groove opening</t>
  </si>
  <si>
    <t>90°-atan(((A-B)/2)/H)</t>
  </si>
  <si>
    <t>deg; from A, B and H</t>
  </si>
  <si>
    <t>NOTES</t>
  </si>
  <si>
    <t>historical / documentary volume coefficient</t>
  </si>
  <si>
    <t>geometric formula / balanced closed B-rep coefficient</t>
  </si>
  <si>
    <t>horizontal coefficient normalisation factor</t>
  </si>
  <si>
    <t>bottom width coefficient</t>
  </si>
  <si>
    <t>top width coefficient at z = H</t>
  </si>
  <si>
    <t>historical reported groove inset</t>
  </si>
  <si>
    <t>generated circular-arc groove inset</t>
  </si>
  <si>
    <t>lateral plan-chamfer coefficient</t>
  </si>
  <si>
    <t>groove radius coefficient</t>
  </si>
  <si>
    <t>groove-centre outside offset coefficient</t>
  </si>
  <si>
    <t>groove half-opening coefficient</t>
  </si>
  <si>
    <t>Pita uses kV = 1.024700000000 from the circular-segment geometric volume formula and the balanced generated B-rep representation.</t>
  </si>
  <si>
    <t>Carvalho uses V/H^3 = 1.000000 by applying f = sqrt(1 / 1.024700000000) to the Pita plan and groove coefficients.</t>
  </si>
  <si>
    <t>Carvalho uses the same Antifer topology, lateral chamfer convention and circular-groove construction as Pita.</t>
  </si>
  <si>
    <t>Frens (2007) is retained for historical comparison. A=1.076V^(1/3), B=0.9254A, H=0.921A, R=0.1115A, C=0.0877A and D=0.022A. B is not reduced by 2D.</t>
  </si>
  <si>
    <t>The active generated geometry has no top bevel. B is the top width at z = H; D is a lateral plan-chamfer offset.</t>
  </si>
  <si>
    <t>C_hist/H = 0.095600 is the rounded historical Pita value. C_arc/H = R/H - E/H = 0.095593540390 is the generated circular-arc inset.</t>
  </si>
  <si>
    <t>documentary/reference volume coefficient</t>
  </si>
  <si>
    <t>geometric formula / balanced B-rep coefficient</t>
  </si>
  <si>
    <t>The input volume V = W/Wc is common to Pita and Carvalho.</t>
  </si>
  <si>
    <t>Each active geometry calculates H from the geometric formula / balanced B-rep coefficient.</t>
  </si>
  <si>
    <t>Pita reports C_hist for documentary reference and uses C_arc = R - E for the circular-arc geometry.</t>
  </si>
  <si>
    <t>Carvalho applies the horizontal normalisation factor f to the Pita plan and groove coefficients and has V/H3 = 1.</t>
  </si>
  <si>
    <t>Frens values remain in the conceptual comparison sheet only, for historical interest.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</si>
</sst>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000"/>
    <numFmt numFmtId="166" formatCode="0.000000000000E+00"/>
  </numFmts>
  <fonts count="7">
    <font>
      <sz val="11"/>
      <name val="Carlito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i/>
      <sz val="11"/>
      <color rgb="FF1F4E7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548235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4" fillId="7" borderId="10" xfId="0" applyNumberFormat="1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164" fontId="2" fillId="0" borderId="10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166" fontId="2" fillId="0" borderId="10" xfId="0" applyNumberFormat="1" applyFont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selection sqref="A1:F1"/>
    </sheetView>
  </sheetViews>
  <sheetFormatPr defaultColWidth="9" defaultRowHeight="15"/>
  <cols>
    <col min="1" max="1" width="20.09765625" style="25" customWidth="1"/>
    <col min="2" max="2" width="36.69921875" style="25" customWidth="1"/>
    <col min="3" max="5" width="18" style="1" customWidth="1"/>
    <col min="6" max="6" width="45" style="25" customWidth="1"/>
    <col min="7" max="16384" width="9" style="25"/>
  </cols>
  <sheetData>
    <row r="1" spans="1:6" ht="27.9" customHeight="1">
      <c r="A1" s="28" t="s">
        <v>0</v>
      </c>
      <c r="B1" s="28"/>
      <c r="C1" s="28"/>
      <c r="D1" s="28"/>
      <c r="E1" s="28"/>
      <c r="F1" s="28"/>
    </row>
    <row r="2" spans="1:6" ht="24" customHeight="1">
      <c r="A2" s="29" t="s">
        <v>1</v>
      </c>
      <c r="B2" s="29"/>
      <c r="C2" s="29"/>
      <c r="D2" s="29"/>
      <c r="E2" s="29"/>
      <c r="F2" s="29"/>
    </row>
    <row r="3" spans="1:6" ht="15.75" customHeight="1">
      <c r="A3" s="26"/>
      <c r="B3" s="26"/>
      <c r="C3" s="26"/>
      <c r="D3" s="26"/>
      <c r="E3" s="26"/>
      <c r="F3" s="26"/>
    </row>
    <row r="4" spans="1:6" ht="21.9" customHeight="1">
      <c r="A4" s="27" t="s">
        <v>2</v>
      </c>
      <c r="B4" s="27" t="s">
        <v>3</v>
      </c>
      <c r="C4" s="27" t="s">
        <v>4</v>
      </c>
      <c r="D4" s="27" t="s">
        <v>5</v>
      </c>
      <c r="E4" s="27" t="s">
        <v>6</v>
      </c>
      <c r="F4" s="27" t="s">
        <v>7</v>
      </c>
    </row>
    <row r="5" spans="1:6" ht="36.6" customHeight="1">
      <c r="A5" s="7" t="s">
        <v>8</v>
      </c>
      <c r="B5" s="9" t="s">
        <v>112</v>
      </c>
      <c r="C5" s="11">
        <v>1.0246999999999999</v>
      </c>
      <c r="D5" s="11">
        <v>1.0275058316682788</v>
      </c>
      <c r="E5" s="11">
        <v>1</v>
      </c>
      <c r="F5" s="9" t="s">
        <v>9</v>
      </c>
    </row>
    <row r="6" spans="1:6" ht="36.6" customHeight="1">
      <c r="A6" s="7" t="s">
        <v>10</v>
      </c>
      <c r="B6" s="9" t="s">
        <v>113</v>
      </c>
      <c r="C6" s="11">
        <f>((C8^2+C8*C9+C9^2)/3)-2*C12^2-4*(C13^2*ACOS(C14/C13)-C14*SQRT(C13^2-C14^2))</f>
        <v>1.0246999999999999</v>
      </c>
      <c r="D6" s="11">
        <v>1.0275058316682788</v>
      </c>
      <c r="E6" s="11">
        <f>((E8^2+E8*E9+E9^2)/3)-2*E12^2-4*(E13^2*ACOS(E14/E13)-E14*SQRT(E13^2-E14^2))</f>
        <v>1</v>
      </c>
      <c r="F6" s="9" t="s">
        <v>11</v>
      </c>
    </row>
    <row r="7" spans="1:6" ht="36.6" customHeight="1">
      <c r="A7" s="7" t="s">
        <v>12</v>
      </c>
      <c r="B7" s="9" t="s">
        <v>114</v>
      </c>
      <c r="C7" s="11">
        <v>1</v>
      </c>
      <c r="D7" s="11">
        <v>0.99978668342400001</v>
      </c>
      <c r="E7" s="11">
        <f>SQRT(E5/C6)</f>
        <v>0.9878741741815269</v>
      </c>
      <c r="F7" s="9" t="s">
        <v>13</v>
      </c>
    </row>
    <row r="8" spans="1:6" ht="36.6" customHeight="1">
      <c r="A8" s="7" t="s">
        <v>14</v>
      </c>
      <c r="B8" s="9" t="s">
        <v>115</v>
      </c>
      <c r="C8" s="11">
        <v>1.0860000000000001</v>
      </c>
      <c r="D8" s="11">
        <v>1.0857763300760044</v>
      </c>
      <c r="E8" s="11">
        <f>C8*$E$7</f>
        <v>1.0728313531611382</v>
      </c>
      <c r="F8" s="9" t="s">
        <v>15</v>
      </c>
    </row>
    <row r="9" spans="1:6" ht="36.6" customHeight="1">
      <c r="A9" s="7" t="s">
        <v>16</v>
      </c>
      <c r="B9" s="9" t="s">
        <v>116</v>
      </c>
      <c r="C9" s="11">
        <v>1.0049999999999999</v>
      </c>
      <c r="D9" s="11">
        <v>1.0047774158523344</v>
      </c>
      <c r="E9" s="11">
        <f>C9*$E$7</f>
        <v>0.99281354505243447</v>
      </c>
      <c r="F9" s="9" t="s">
        <v>17</v>
      </c>
    </row>
    <row r="10" spans="1:6" ht="36.6" customHeight="1">
      <c r="A10" s="7" t="s">
        <v>18</v>
      </c>
      <c r="B10" s="9" t="s">
        <v>117</v>
      </c>
      <c r="C10" s="11">
        <v>9.5600000000000004E-2</v>
      </c>
      <c r="D10" s="11">
        <v>9.5222584147665573E-2</v>
      </c>
      <c r="E10" s="11">
        <f>C10*$E$7</f>
        <v>9.4440771051753969E-2</v>
      </c>
      <c r="F10" s="9" t="s">
        <v>19</v>
      </c>
    </row>
    <row r="11" spans="1:6" ht="36.6" customHeight="1">
      <c r="A11" s="7" t="s">
        <v>20</v>
      </c>
      <c r="B11" s="9" t="s">
        <v>118</v>
      </c>
      <c r="C11" s="11">
        <f>C13-C14</f>
        <v>9.5593540390136969E-2</v>
      </c>
      <c r="D11" s="11">
        <v>9.5222584147665573E-2</v>
      </c>
      <c r="E11" s="11">
        <f>E13-E14</f>
        <v>9.4434389769995006E-2</v>
      </c>
      <c r="F11" s="9" t="s">
        <v>21</v>
      </c>
    </row>
    <row r="12" spans="1:6" ht="36.6" customHeight="1">
      <c r="A12" s="7" t="s">
        <v>22</v>
      </c>
      <c r="B12" s="9" t="s">
        <v>119</v>
      </c>
      <c r="C12" s="11">
        <v>2.4E-2</v>
      </c>
      <c r="D12" s="11">
        <v>2.3887079261672092E-2</v>
      </c>
      <c r="E12" s="11">
        <f>C12*$E$7</f>
        <v>2.3708980180356647E-2</v>
      </c>
      <c r="F12" s="9" t="s">
        <v>23</v>
      </c>
    </row>
    <row r="13" spans="1:6" ht="36.6" customHeight="1">
      <c r="A13" s="7" t="s">
        <v>24</v>
      </c>
      <c r="B13" s="9" t="s">
        <v>120</v>
      </c>
      <c r="C13" s="11">
        <v>0.1215</v>
      </c>
      <c r="D13" s="11">
        <v>0.12106406080347448</v>
      </c>
      <c r="E13" s="11">
        <f>C13*$E$7</f>
        <v>0.12002671216305552</v>
      </c>
      <c r="F13" s="9" t="s">
        <v>25</v>
      </c>
    </row>
    <row r="14" spans="1:6" ht="36.6" customHeight="1">
      <c r="A14" s="7" t="s">
        <v>26</v>
      </c>
      <c r="B14" s="9" t="s">
        <v>121</v>
      </c>
      <c r="C14" s="11">
        <v>2.5906459609863028E-2</v>
      </c>
      <c r="D14" s="11">
        <v>2.5841476655999999E-2</v>
      </c>
      <c r="E14" s="11">
        <f>C14*$E$7</f>
        <v>2.5592322393060519E-2</v>
      </c>
      <c r="F14" s="9" t="s">
        <v>27</v>
      </c>
    </row>
    <row r="15" spans="1:6" ht="36.6" customHeight="1">
      <c r="A15" s="7" t="s">
        <v>28</v>
      </c>
      <c r="B15" s="9" t="s">
        <v>122</v>
      </c>
      <c r="C15" s="11">
        <f>SQRT(C13^2-C14^2)</f>
        <v>0.11870596173100378</v>
      </c>
      <c r="D15" s="11">
        <f>SQRT(D13^2-D14^2)</f>
        <v>0.1182739400817643</v>
      </c>
      <c r="E15" s="11">
        <f>SQRT(E13^2-E14^2)</f>
        <v>0.1172665539154393</v>
      </c>
      <c r="F15" s="9" t="s">
        <v>29</v>
      </c>
    </row>
    <row r="16" spans="1:6" ht="36.6" customHeight="1">
      <c r="A16" s="7" t="s">
        <v>30</v>
      </c>
      <c r="B16" s="9" t="s">
        <v>31</v>
      </c>
      <c r="C16" s="11">
        <f>90-DEGREES(ATAN(((C8-C9)/2)))</f>
        <v>87.680788404500163</v>
      </c>
      <c r="D16" s="11">
        <f>90-DEGREES(ATAN(((D8-D9)/2)))</f>
        <v>87.680819458764702</v>
      </c>
      <c r="E16" s="11">
        <f>90-DEGREES(ATAN(((E8-E9)/2)))</f>
        <v>87.708880607767327</v>
      </c>
      <c r="F16" s="9" t="s">
        <v>32</v>
      </c>
    </row>
    <row r="17" spans="1:6" ht="15.75" customHeight="1">
      <c r="A17" s="36"/>
      <c r="B17" s="30"/>
      <c r="C17" s="30"/>
      <c r="D17" s="30"/>
      <c r="E17" s="30"/>
      <c r="F17" s="30"/>
    </row>
    <row r="18" spans="1:6" ht="33.6" customHeight="1">
      <c r="A18" s="35" t="s">
        <v>33</v>
      </c>
      <c r="B18" s="30"/>
      <c r="C18" s="30"/>
      <c r="D18" s="30"/>
      <c r="E18" s="30"/>
      <c r="F18" s="30"/>
    </row>
    <row r="19" spans="1:6" s="1" customFormat="1" ht="13.8">
      <c r="A19" s="2">
        <v>1</v>
      </c>
      <c r="B19" s="30" t="s">
        <v>123</v>
      </c>
      <c r="C19" s="37"/>
      <c r="D19" s="37"/>
      <c r="E19" s="37"/>
      <c r="F19" s="38"/>
    </row>
    <row r="20" spans="1:6" s="1" customFormat="1" ht="13.8">
      <c r="A20" s="2">
        <v>2</v>
      </c>
      <c r="B20" s="30" t="s">
        <v>124</v>
      </c>
      <c r="C20" s="31"/>
      <c r="D20" s="31"/>
      <c r="E20" s="31"/>
      <c r="F20" s="32"/>
    </row>
    <row r="21" spans="1:6" s="1" customFormat="1" ht="13.8">
      <c r="A21" s="2">
        <v>3</v>
      </c>
      <c r="B21" s="30" t="s">
        <v>125</v>
      </c>
      <c r="C21" s="31"/>
      <c r="D21" s="31"/>
      <c r="E21" s="31"/>
      <c r="F21" s="32"/>
    </row>
    <row r="22" spans="1:6" s="1" customFormat="1" ht="13.8">
      <c r="A22" s="2">
        <v>4</v>
      </c>
      <c r="B22" s="30" t="s">
        <v>126</v>
      </c>
      <c r="C22" s="31"/>
      <c r="D22" s="31"/>
      <c r="E22" s="31"/>
      <c r="F22" s="32"/>
    </row>
    <row r="23" spans="1:6" s="1" customFormat="1" ht="13.8">
      <c r="A23" s="2">
        <v>5</v>
      </c>
      <c r="B23" s="30" t="s">
        <v>127</v>
      </c>
      <c r="C23" s="31"/>
      <c r="D23" s="31"/>
      <c r="E23" s="31"/>
      <c r="F23" s="32"/>
    </row>
    <row r="24" spans="1:6" s="1" customFormat="1" ht="13.8">
      <c r="A24" s="2">
        <v>6</v>
      </c>
      <c r="B24" s="30" t="s">
        <v>128</v>
      </c>
      <c r="C24" s="33"/>
      <c r="D24" s="33"/>
      <c r="E24" s="33"/>
      <c r="F24" s="34"/>
    </row>
  </sheetData>
  <mergeCells count="10">
    <mergeCell ref="A1:F1"/>
    <mergeCell ref="A2:F2"/>
    <mergeCell ref="B23:F23"/>
    <mergeCell ref="B24:F24"/>
    <mergeCell ref="A18:F18"/>
    <mergeCell ref="B20:F20"/>
    <mergeCell ref="B21:F21"/>
    <mergeCell ref="B22:F22"/>
    <mergeCell ref="A17:F17"/>
    <mergeCell ref="B19:F19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8" scale="11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7"/>
  <sheetViews>
    <sheetView showGridLines="0" workbookViewId="0">
      <selection sqref="A1:I1"/>
    </sheetView>
  </sheetViews>
  <sheetFormatPr defaultColWidth="8.69921875" defaultRowHeight="13.8"/>
  <cols>
    <col min="1" max="1" width="24.19921875" style="1" customWidth="1"/>
    <col min="2" max="2" width="23.19921875" style="1" customWidth="1"/>
    <col min="3" max="3" width="22.5" style="24" customWidth="1"/>
    <col min="4" max="4" width="22.5" style="1" customWidth="1"/>
    <col min="5" max="5" width="3" style="1" customWidth="1"/>
    <col min="6" max="6" width="24.19921875" style="1" customWidth="1"/>
    <col min="7" max="7" width="23.19921875" style="1" customWidth="1"/>
    <col min="8" max="8" width="22.5" style="24" customWidth="1"/>
    <col min="9" max="9" width="22.5" style="1" customWidth="1"/>
    <col min="10" max="16384" width="8.69921875" style="1"/>
  </cols>
  <sheetData>
    <row r="1" spans="1:9" ht="27.9" customHeight="1">
      <c r="A1" s="28" t="s">
        <v>34</v>
      </c>
      <c r="B1" s="28"/>
      <c r="C1" s="28"/>
      <c r="D1" s="28"/>
      <c r="E1" s="28"/>
      <c r="F1" s="28"/>
      <c r="G1" s="28"/>
      <c r="H1" s="28"/>
      <c r="I1" s="28"/>
    </row>
    <row r="2" spans="1:9" ht="14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21.9" customHeight="1">
      <c r="A3" s="41" t="s">
        <v>35</v>
      </c>
      <c r="B3" s="42"/>
      <c r="C3" s="42"/>
      <c r="D3" s="42"/>
      <c r="E3" s="2"/>
      <c r="F3" s="41" t="s">
        <v>36</v>
      </c>
      <c r="G3" s="42"/>
      <c r="H3" s="42"/>
      <c r="I3" s="42"/>
    </row>
    <row r="4" spans="1:9" ht="21.9" customHeight="1">
      <c r="A4" s="3" t="s">
        <v>37</v>
      </c>
      <c r="B4" s="4" t="s">
        <v>38</v>
      </c>
      <c r="C4" s="4" t="s">
        <v>39</v>
      </c>
      <c r="D4" s="4" t="s">
        <v>40</v>
      </c>
      <c r="E4" s="5"/>
      <c r="F4" s="4" t="s">
        <v>41</v>
      </c>
      <c r="G4" s="4" t="s">
        <v>42</v>
      </c>
      <c r="H4" s="4" t="s">
        <v>43</v>
      </c>
      <c r="I4" s="6" t="s">
        <v>44</v>
      </c>
    </row>
    <row r="5" spans="1:9" ht="24" customHeight="1">
      <c r="A5" s="7" t="s">
        <v>45</v>
      </c>
      <c r="B5" s="8">
        <v>680</v>
      </c>
      <c r="C5" s="7" t="s">
        <v>46</v>
      </c>
      <c r="D5" s="9" t="s">
        <v>47</v>
      </c>
      <c r="E5" s="10"/>
      <c r="F5" s="9" t="s">
        <v>48</v>
      </c>
      <c r="G5" s="11">
        <f>adim!C5</f>
        <v>1.0246999999999999</v>
      </c>
      <c r="H5" s="11">
        <f>adim!E5</f>
        <v>1</v>
      </c>
      <c r="I5" s="9" t="s">
        <v>129</v>
      </c>
    </row>
    <row r="6" spans="1:9" ht="24" customHeight="1">
      <c r="A6" s="7" t="s">
        <v>49</v>
      </c>
      <c r="B6" s="8">
        <v>27.2</v>
      </c>
      <c r="C6" s="7" t="s">
        <v>50</v>
      </c>
      <c r="D6" s="9" t="s">
        <v>51</v>
      </c>
      <c r="E6" s="10"/>
      <c r="F6" s="9" t="s">
        <v>52</v>
      </c>
      <c r="G6" s="11">
        <f>adim!C6</f>
        <v>1.0246999999999999</v>
      </c>
      <c r="H6" s="11">
        <f>adim!E6</f>
        <v>1</v>
      </c>
      <c r="I6" s="9" t="s">
        <v>130</v>
      </c>
    </row>
    <row r="7" spans="1:9" ht="24" customHeight="1">
      <c r="A7" s="7" t="s">
        <v>53</v>
      </c>
      <c r="B7" s="8">
        <v>9.8066499999999994</v>
      </c>
      <c r="C7" s="7" t="s">
        <v>54</v>
      </c>
      <c r="D7" s="9" t="s">
        <v>55</v>
      </c>
      <c r="E7" s="10"/>
      <c r="F7" s="10"/>
      <c r="G7" s="10"/>
      <c r="H7" s="12"/>
      <c r="I7" s="13"/>
    </row>
    <row r="8" spans="1:9" ht="24" customHeight="1">
      <c r="A8" s="7" t="s">
        <v>56</v>
      </c>
      <c r="B8" s="14">
        <f>B5/B6</f>
        <v>25</v>
      </c>
      <c r="C8" s="7" t="s">
        <v>57</v>
      </c>
      <c r="D8" s="9" t="s">
        <v>58</v>
      </c>
      <c r="E8" s="10"/>
      <c r="F8" s="10"/>
      <c r="G8" s="10"/>
      <c r="H8" s="12"/>
      <c r="I8" s="13"/>
    </row>
    <row r="9" spans="1:9" ht="24" customHeight="1">
      <c r="A9" s="7" t="s">
        <v>59</v>
      </c>
      <c r="B9" s="14">
        <f>B5/B7</f>
        <v>69.340702482499125</v>
      </c>
      <c r="C9" s="7" t="s">
        <v>60</v>
      </c>
      <c r="D9" s="9" t="s">
        <v>61</v>
      </c>
      <c r="E9" s="10"/>
      <c r="F9" s="10"/>
      <c r="G9" s="10"/>
      <c r="H9" s="12"/>
      <c r="I9" s="13"/>
    </row>
    <row r="10" spans="1:9" ht="14.25" customHeight="1">
      <c r="A10" s="15"/>
      <c r="B10" s="10"/>
      <c r="C10" s="12"/>
      <c r="D10" s="10"/>
      <c r="E10" s="10"/>
      <c r="F10" s="10"/>
      <c r="G10" s="10"/>
      <c r="H10" s="12"/>
      <c r="I10" s="13"/>
    </row>
    <row r="11" spans="1:9" ht="25.95" customHeight="1">
      <c r="A11" s="43" t="s">
        <v>62</v>
      </c>
      <c r="B11" s="42"/>
      <c r="C11" s="42"/>
      <c r="D11" s="42"/>
      <c r="E11" s="10"/>
      <c r="F11" s="44" t="s">
        <v>63</v>
      </c>
      <c r="G11" s="42"/>
      <c r="H11" s="42"/>
      <c r="I11" s="42"/>
    </row>
    <row r="12" spans="1:9" ht="25.95" customHeight="1">
      <c r="A12" s="16" t="s">
        <v>64</v>
      </c>
      <c r="B12" s="17" t="s">
        <v>65</v>
      </c>
      <c r="C12" s="17" t="s">
        <v>38</v>
      </c>
      <c r="D12" s="17" t="s">
        <v>66</v>
      </c>
      <c r="E12" s="10"/>
      <c r="F12" s="18" t="s">
        <v>64</v>
      </c>
      <c r="G12" s="18" t="s">
        <v>65</v>
      </c>
      <c r="H12" s="18" t="s">
        <v>38</v>
      </c>
      <c r="I12" s="19" t="s">
        <v>66</v>
      </c>
    </row>
    <row r="13" spans="1:9" ht="21.9" customHeight="1">
      <c r="A13" s="7" t="s">
        <v>48</v>
      </c>
      <c r="B13" s="9" t="s">
        <v>67</v>
      </c>
      <c r="C13" s="11">
        <f>adim!C5</f>
        <v>1.0246999999999999</v>
      </c>
      <c r="D13" s="9" t="s">
        <v>68</v>
      </c>
      <c r="E13" s="10"/>
      <c r="F13" s="9" t="s">
        <v>48</v>
      </c>
      <c r="G13" s="9" t="s">
        <v>67</v>
      </c>
      <c r="H13" s="11">
        <f>adim!E5</f>
        <v>1</v>
      </c>
      <c r="I13" s="9" t="s">
        <v>68</v>
      </c>
    </row>
    <row r="14" spans="1:9" ht="21.9" customHeight="1">
      <c r="A14" s="7" t="s">
        <v>52</v>
      </c>
      <c r="B14" s="9" t="s">
        <v>69</v>
      </c>
      <c r="C14" s="11">
        <f>adim!C6</f>
        <v>1.0246999999999999</v>
      </c>
      <c r="D14" s="9" t="s">
        <v>70</v>
      </c>
      <c r="E14" s="10"/>
      <c r="F14" s="9" t="s">
        <v>52</v>
      </c>
      <c r="G14" s="9" t="s">
        <v>69</v>
      </c>
      <c r="H14" s="11">
        <f>adim!E6</f>
        <v>1</v>
      </c>
      <c r="I14" s="9" t="s">
        <v>70</v>
      </c>
    </row>
    <row r="15" spans="1:9" ht="21.9" customHeight="1">
      <c r="A15" s="7" t="s">
        <v>71</v>
      </c>
      <c r="B15" s="9" t="s">
        <v>72</v>
      </c>
      <c r="C15" s="11">
        <f>$B$8</f>
        <v>25</v>
      </c>
      <c r="D15" s="9" t="s">
        <v>57</v>
      </c>
      <c r="E15" s="10"/>
      <c r="F15" s="9" t="s">
        <v>71</v>
      </c>
      <c r="G15" s="9" t="s">
        <v>72</v>
      </c>
      <c r="H15" s="11">
        <f>$B$8</f>
        <v>25</v>
      </c>
      <c r="I15" s="9" t="s">
        <v>57</v>
      </c>
    </row>
    <row r="16" spans="1:9" ht="21.9" customHeight="1">
      <c r="A16" s="7" t="s">
        <v>73</v>
      </c>
      <c r="B16" s="9" t="s">
        <v>74</v>
      </c>
      <c r="C16" s="11">
        <f>($B$8/C14)^(1/3)</f>
        <v>2.9003322885341984</v>
      </c>
      <c r="D16" s="9" t="s">
        <v>75</v>
      </c>
      <c r="E16" s="10"/>
      <c r="F16" s="9" t="s">
        <v>73</v>
      </c>
      <c r="G16" s="9" t="s">
        <v>74</v>
      </c>
      <c r="H16" s="11">
        <f>($B$8/H14)^(1/3)</f>
        <v>2.9240177382128656</v>
      </c>
      <c r="I16" s="9" t="s">
        <v>75</v>
      </c>
    </row>
    <row r="17" spans="1:9" ht="21.9" customHeight="1">
      <c r="A17" s="7" t="s">
        <v>76</v>
      </c>
      <c r="B17" s="9" t="s">
        <v>77</v>
      </c>
      <c r="C17" s="11">
        <f>C14*C16^3</f>
        <v>25.000000000000004</v>
      </c>
      <c r="D17" s="9" t="s">
        <v>57</v>
      </c>
      <c r="E17" s="10"/>
      <c r="F17" s="9" t="s">
        <v>76</v>
      </c>
      <c r="G17" s="9" t="s">
        <v>77</v>
      </c>
      <c r="H17" s="11">
        <f>H14*H16^3</f>
        <v>24.999999999999989</v>
      </c>
      <c r="I17" s="9" t="s">
        <v>57</v>
      </c>
    </row>
    <row r="18" spans="1:9" ht="21.9" customHeight="1">
      <c r="A18" s="7" t="s">
        <v>78</v>
      </c>
      <c r="B18" s="9" t="s">
        <v>79</v>
      </c>
      <c r="C18" s="11">
        <f>C13*C16^3</f>
        <v>25.000000000000004</v>
      </c>
      <c r="D18" s="9" t="s">
        <v>57</v>
      </c>
      <c r="E18" s="10"/>
      <c r="F18" s="9" t="s">
        <v>78</v>
      </c>
      <c r="G18" s="9" t="s">
        <v>79</v>
      </c>
      <c r="H18" s="11">
        <f>H13*H16^3</f>
        <v>24.999999999999989</v>
      </c>
      <c r="I18" s="9" t="s">
        <v>57</v>
      </c>
    </row>
    <row r="19" spans="1:9" ht="21.9" customHeight="1">
      <c r="A19" s="7" t="s">
        <v>80</v>
      </c>
      <c r="B19" s="9" t="s">
        <v>81</v>
      </c>
      <c r="C19" s="20">
        <f>C17-$B$8</f>
        <v>0</v>
      </c>
      <c r="D19" s="9" t="s">
        <v>57</v>
      </c>
      <c r="E19" s="10"/>
      <c r="F19" s="9" t="s">
        <v>80</v>
      </c>
      <c r="G19" s="9" t="s">
        <v>81</v>
      </c>
      <c r="H19" s="20">
        <f>H17-$B$8</f>
        <v>0</v>
      </c>
      <c r="I19" s="9" t="s">
        <v>57</v>
      </c>
    </row>
    <row r="20" spans="1:9" ht="21.9" customHeight="1">
      <c r="A20" s="7" t="s">
        <v>82</v>
      </c>
      <c r="B20" s="9" t="s">
        <v>83</v>
      </c>
      <c r="C20" s="20">
        <f>IF($B$8=0,0,C19/$B$8)</f>
        <v>0</v>
      </c>
      <c r="D20" s="9" t="s">
        <v>84</v>
      </c>
      <c r="E20" s="10"/>
      <c r="F20" s="9" t="s">
        <v>82</v>
      </c>
      <c r="G20" s="9" t="s">
        <v>83</v>
      </c>
      <c r="H20" s="20">
        <f>IF($B$8=0,0,H19/$B$8)</f>
        <v>0</v>
      </c>
      <c r="I20" s="9" t="s">
        <v>84</v>
      </c>
    </row>
    <row r="21" spans="1:9" ht="21.9" customHeight="1">
      <c r="A21" s="7" t="s">
        <v>85</v>
      </c>
      <c r="B21" s="9" t="s">
        <v>86</v>
      </c>
      <c r="C21" s="11">
        <f>adim!C8*C16</f>
        <v>3.1497608653481399</v>
      </c>
      <c r="D21" s="9" t="s">
        <v>75</v>
      </c>
      <c r="E21" s="10"/>
      <c r="F21" s="9" t="s">
        <v>85</v>
      </c>
      <c r="G21" s="9" t="s">
        <v>86</v>
      </c>
      <c r="H21" s="11">
        <f>adim!E8*H16</f>
        <v>3.1369779067540793</v>
      </c>
      <c r="I21" s="9" t="s">
        <v>75</v>
      </c>
    </row>
    <row r="22" spans="1:9" ht="21.9" customHeight="1">
      <c r="A22" s="7" t="s">
        <v>87</v>
      </c>
      <c r="B22" s="9" t="s">
        <v>88</v>
      </c>
      <c r="C22" s="11">
        <f>adim!C9*C16</f>
        <v>2.914833949976869</v>
      </c>
      <c r="D22" s="9" t="s">
        <v>75</v>
      </c>
      <c r="E22" s="10"/>
      <c r="F22" s="9" t="s">
        <v>87</v>
      </c>
      <c r="G22" s="9" t="s">
        <v>88</v>
      </c>
      <c r="H22" s="11">
        <f>adim!E9*H16</f>
        <v>2.9030044164713162</v>
      </c>
      <c r="I22" s="9" t="s">
        <v>75</v>
      </c>
    </row>
    <row r="23" spans="1:9" ht="21.9" customHeight="1">
      <c r="A23" s="7" t="s">
        <v>89</v>
      </c>
      <c r="B23" s="9" t="s">
        <v>90</v>
      </c>
      <c r="C23" s="11">
        <f>adim!C10*C16</f>
        <v>0.27727176678386939</v>
      </c>
      <c r="D23" s="9" t="s">
        <v>91</v>
      </c>
      <c r="E23" s="10"/>
      <c r="F23" s="9" t="s">
        <v>89</v>
      </c>
      <c r="G23" s="9" t="s">
        <v>92</v>
      </c>
      <c r="H23" s="11"/>
      <c r="I23" s="9" t="s">
        <v>93</v>
      </c>
    </row>
    <row r="24" spans="1:9" ht="21.9" customHeight="1">
      <c r="A24" s="7" t="s">
        <v>94</v>
      </c>
      <c r="B24" s="9" t="s">
        <v>95</v>
      </c>
      <c r="C24" s="11">
        <f>adim!C11*C16</f>
        <v>0.27725303176881227</v>
      </c>
      <c r="D24" s="9" t="s">
        <v>96</v>
      </c>
      <c r="E24" s="10"/>
      <c r="F24" s="9" t="s">
        <v>94</v>
      </c>
      <c r="G24" s="9" t="s">
        <v>95</v>
      </c>
      <c r="H24" s="11">
        <f>adim!E11*H16</f>
        <v>0.27612783078477299</v>
      </c>
      <c r="I24" s="9" t="s">
        <v>96</v>
      </c>
    </row>
    <row r="25" spans="1:9" ht="21.9" customHeight="1">
      <c r="A25" s="7" t="s">
        <v>97</v>
      </c>
      <c r="B25" s="9" t="s">
        <v>98</v>
      </c>
      <c r="C25" s="11">
        <f>adim!C12*C16</f>
        <v>6.9607974924820765E-2</v>
      </c>
      <c r="D25" s="9" t="s">
        <v>75</v>
      </c>
      <c r="E25" s="10"/>
      <c r="F25" s="9" t="s">
        <v>97</v>
      </c>
      <c r="G25" s="9" t="s">
        <v>98</v>
      </c>
      <c r="H25" s="11">
        <f>adim!E12*H16</f>
        <v>6.9325478602300108E-2</v>
      </c>
      <c r="I25" s="9" t="s">
        <v>75</v>
      </c>
    </row>
    <row r="26" spans="1:9" ht="21.9" customHeight="1">
      <c r="A26" s="7" t="s">
        <v>99</v>
      </c>
      <c r="B26" s="9" t="s">
        <v>100</v>
      </c>
      <c r="C26" s="11">
        <f>adim!C13*C16</f>
        <v>0.35239037305690513</v>
      </c>
      <c r="D26" s="9" t="s">
        <v>75</v>
      </c>
      <c r="E26" s="10"/>
      <c r="F26" s="9" t="s">
        <v>99</v>
      </c>
      <c r="G26" s="9" t="s">
        <v>100</v>
      </c>
      <c r="H26" s="11">
        <f>adim!E13*H16</f>
        <v>0.35096023542414423</v>
      </c>
      <c r="I26" s="9" t="s">
        <v>75</v>
      </c>
    </row>
    <row r="27" spans="1:9" ht="21.9" customHeight="1">
      <c r="A27" s="7" t="s">
        <v>101</v>
      </c>
      <c r="B27" s="9" t="s">
        <v>102</v>
      </c>
      <c r="C27" s="11">
        <f>adim!C14*C16</f>
        <v>7.513734128809281E-2</v>
      </c>
      <c r="D27" s="9" t="s">
        <v>75</v>
      </c>
      <c r="E27" s="10"/>
      <c r="F27" s="9" t="s">
        <v>101</v>
      </c>
      <c r="G27" s="9" t="s">
        <v>102</v>
      </c>
      <c r="H27" s="11">
        <f>adim!E14*H16</f>
        <v>7.4832404639371283E-2</v>
      </c>
      <c r="I27" s="9" t="s">
        <v>75</v>
      </c>
    </row>
    <row r="28" spans="1:9" ht="21.9" customHeight="1">
      <c r="A28" s="7" t="s">
        <v>103</v>
      </c>
      <c r="B28" s="9" t="s">
        <v>104</v>
      </c>
      <c r="C28" s="11">
        <f>SQRT(C26^2-C27^2)</f>
        <v>0.34428673364993523</v>
      </c>
      <c r="D28" s="9" t="s">
        <v>105</v>
      </c>
      <c r="E28" s="10"/>
      <c r="F28" s="9" t="s">
        <v>103</v>
      </c>
      <c r="G28" s="9" t="s">
        <v>104</v>
      </c>
      <c r="H28" s="11">
        <f>SQRT(H26^2-H27^2)</f>
        <v>0.3428894837478399</v>
      </c>
      <c r="I28" s="9" t="s">
        <v>105</v>
      </c>
    </row>
    <row r="29" spans="1:9" ht="21.9" customHeight="1">
      <c r="A29" s="7" t="s">
        <v>106</v>
      </c>
      <c r="B29" s="9" t="s">
        <v>107</v>
      </c>
      <c r="C29" s="11">
        <f>2*C28</f>
        <v>0.68857346729987046</v>
      </c>
      <c r="D29" s="9" t="s">
        <v>108</v>
      </c>
      <c r="E29" s="10"/>
      <c r="F29" s="9" t="s">
        <v>106</v>
      </c>
      <c r="G29" s="9" t="s">
        <v>107</v>
      </c>
      <c r="H29" s="11">
        <f>2*H28</f>
        <v>0.68577896749567979</v>
      </c>
      <c r="I29" s="9" t="s">
        <v>108</v>
      </c>
    </row>
    <row r="30" spans="1:9" ht="21.9" customHeight="1">
      <c r="A30" s="7" t="s">
        <v>30</v>
      </c>
      <c r="B30" s="9" t="s">
        <v>109</v>
      </c>
      <c r="C30" s="11">
        <f>90-DEGREES(ATAN(((C21-C22)/2)/C16))</f>
        <v>87.680788404500163</v>
      </c>
      <c r="D30" s="9" t="s">
        <v>110</v>
      </c>
      <c r="E30" s="10"/>
      <c r="F30" s="9" t="s">
        <v>30</v>
      </c>
      <c r="G30" s="9" t="s">
        <v>109</v>
      </c>
      <c r="H30" s="11">
        <f>90-DEGREES(ATAN(((H21-H22)/2)/H16))</f>
        <v>87.708880607767327</v>
      </c>
      <c r="I30" s="9" t="s">
        <v>110</v>
      </c>
    </row>
    <row r="31" spans="1:9" ht="14.25" customHeight="1">
      <c r="A31" s="15"/>
      <c r="B31" s="10"/>
      <c r="C31" s="12"/>
      <c r="D31" s="10"/>
      <c r="E31" s="10"/>
      <c r="F31" s="10"/>
      <c r="G31" s="10"/>
      <c r="H31" s="12"/>
      <c r="I31" s="13"/>
    </row>
    <row r="32" spans="1:9" ht="21.9" customHeight="1">
      <c r="A32" s="21" t="s">
        <v>111</v>
      </c>
      <c r="B32" s="22"/>
      <c r="C32" s="17"/>
      <c r="D32" s="22"/>
      <c r="E32" s="22"/>
      <c r="F32" s="22"/>
      <c r="G32" s="22"/>
      <c r="H32" s="17"/>
      <c r="I32" s="23"/>
    </row>
    <row r="33" spans="1:9">
      <c r="A33" s="39" t="s">
        <v>131</v>
      </c>
      <c r="B33" s="31"/>
      <c r="C33" s="31"/>
      <c r="D33" s="31"/>
      <c r="E33" s="31"/>
      <c r="F33" s="31"/>
      <c r="G33" s="31"/>
      <c r="H33" s="31"/>
      <c r="I33" s="32"/>
    </row>
    <row r="34" spans="1:9">
      <c r="A34" s="39" t="s">
        <v>132</v>
      </c>
      <c r="B34" s="31"/>
      <c r="C34" s="31"/>
      <c r="D34" s="31"/>
      <c r="E34" s="31"/>
      <c r="F34" s="31"/>
      <c r="G34" s="31"/>
      <c r="H34" s="31"/>
      <c r="I34" s="32"/>
    </row>
    <row r="35" spans="1:9">
      <c r="A35" s="39" t="s">
        <v>133</v>
      </c>
      <c r="B35" s="31"/>
      <c r="C35" s="31"/>
      <c r="D35" s="31"/>
      <c r="E35" s="31"/>
      <c r="F35" s="31"/>
      <c r="G35" s="31"/>
      <c r="H35" s="31"/>
      <c r="I35" s="32"/>
    </row>
    <row r="36" spans="1:9">
      <c r="A36" s="39" t="s">
        <v>134</v>
      </c>
      <c r="B36" s="31"/>
      <c r="C36" s="31"/>
      <c r="D36" s="31"/>
      <c r="E36" s="31"/>
      <c r="F36" s="31"/>
      <c r="G36" s="31"/>
      <c r="H36" s="31"/>
      <c r="I36" s="32"/>
    </row>
    <row r="37" spans="1:9">
      <c r="A37" s="40" t="s">
        <v>135</v>
      </c>
      <c r="B37" s="33"/>
      <c r="C37" s="33"/>
      <c r="D37" s="33"/>
      <c r="E37" s="33"/>
      <c r="F37" s="33"/>
      <c r="G37" s="33"/>
      <c r="H37" s="33"/>
      <c r="I37" s="34"/>
    </row>
  </sheetData>
  <mergeCells count="10">
    <mergeCell ref="A36:I36"/>
    <mergeCell ref="A37:I37"/>
    <mergeCell ref="A1:I1"/>
    <mergeCell ref="A33:I33"/>
    <mergeCell ref="A34:I34"/>
    <mergeCell ref="A35:I35"/>
    <mergeCell ref="A3:D3"/>
    <mergeCell ref="F3:I3"/>
    <mergeCell ref="A11:D11"/>
    <mergeCell ref="F11:I11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8" scale="9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adim</vt:lpstr>
      <vt:lpstr>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2026-06-01T11:40:56Z</dcterms:modified>
</cp:coreProperties>
</file>